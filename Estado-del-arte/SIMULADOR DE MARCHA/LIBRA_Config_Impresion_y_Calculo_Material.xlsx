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mc:AlternateContent xmlns:mc="http://schemas.openxmlformats.org/markup-compatibility/2006">
    <mc:Choice Requires="x15">
      <x15ac:absPath xmlns:x15ac="http://schemas.microsoft.com/office/spreadsheetml/2010/11/ac" url="C:\Users\aLESS\Documents\LIBRA\Estado-del-arte\SIMULADOR DE MARCHA\"/>
    </mc:Choice>
  </mc:AlternateContent>
  <xr:revisionPtr revIDLastSave="0" documentId="13_ncr:1_{440A9D3E-D0E2-4CAB-B388-C7A798C8364F}" xr6:coauthVersionLast="47" xr6:coauthVersionMax="47" xr10:uidLastSave="{00000000-0000-0000-0000-000000000000}"/>
  <bookViews>
    <workbookView xWindow="-108" yWindow="-108" windowWidth="23256" windowHeight="13896" tabRatio="500" activeTab="3" xr2:uid="{00000000-000D-0000-FFFF-FFFF00000000}"/>
  </bookViews>
  <sheets>
    <sheet name="Config Impresion" sheetId="1" r:id="rId1"/>
    <sheet name="Propiedades Base" sheetId="2" r:id="rId2"/>
    <sheet name="Patrones Infill" sheetId="3" r:id="rId3"/>
    <sheet name="Calculadora Iteraciones" sheetId="4" r:id="rId4"/>
  </sheets>
  <calcPr calcId="191029"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Q18" i="4" l="1"/>
  <c r="M18" i="4"/>
  <c r="S18" i="4" s="1"/>
  <c r="L18" i="4"/>
  <c r="K18" i="4"/>
  <c r="I18" i="4"/>
  <c r="J18" i="4" s="1"/>
  <c r="H18" i="4"/>
  <c r="M17" i="4"/>
  <c r="S17" i="4" s="1"/>
  <c r="L17" i="4"/>
  <c r="K17" i="4"/>
  <c r="I17" i="4"/>
  <c r="Q17" i="4" s="1"/>
  <c r="H17" i="4"/>
  <c r="J17" i="4" s="1"/>
  <c r="Q16" i="4"/>
  <c r="M16" i="4"/>
  <c r="S16" i="4" s="1"/>
  <c r="L16" i="4"/>
  <c r="K16" i="4"/>
  <c r="I16" i="4"/>
  <c r="J16" i="4" s="1"/>
  <c r="H16" i="4"/>
  <c r="M15" i="4"/>
  <c r="S15" i="4" s="1"/>
  <c r="L15" i="4"/>
  <c r="K15" i="4"/>
  <c r="I15" i="4"/>
  <c r="J15" i="4" s="1"/>
  <c r="H15" i="4"/>
  <c r="S14" i="4"/>
  <c r="M14" i="4"/>
  <c r="L14" i="4"/>
  <c r="K14" i="4"/>
  <c r="I14" i="4"/>
  <c r="Q14" i="4" s="1"/>
  <c r="H14" i="4"/>
  <c r="M13" i="4"/>
  <c r="S13" i="4" s="1"/>
  <c r="L13" i="4"/>
  <c r="K13" i="4"/>
  <c r="I13" i="4"/>
  <c r="Q13" i="4" s="1"/>
  <c r="H13" i="4"/>
  <c r="M12" i="4"/>
  <c r="S12" i="4" s="1"/>
  <c r="L12" i="4"/>
  <c r="K12" i="4"/>
  <c r="I12" i="4"/>
  <c r="Q12" i="4" s="1"/>
  <c r="H12" i="4"/>
  <c r="Q11" i="4"/>
  <c r="M11" i="4"/>
  <c r="S11" i="4" s="1"/>
  <c r="L11" i="4"/>
  <c r="K11" i="4"/>
  <c r="I11" i="4"/>
  <c r="J11" i="4" s="1"/>
  <c r="H11" i="4"/>
  <c r="M10" i="4"/>
  <c r="S10" i="4" s="1"/>
  <c r="L10" i="4"/>
  <c r="K10" i="4"/>
  <c r="I10" i="4"/>
  <c r="J10" i="4" s="1"/>
  <c r="H10" i="4"/>
  <c r="S9" i="4"/>
  <c r="Q9" i="4"/>
  <c r="M9" i="4"/>
  <c r="L9" i="4"/>
  <c r="K9" i="4"/>
  <c r="I9" i="4"/>
  <c r="J9" i="4" s="1"/>
  <c r="H9" i="4"/>
  <c r="M8" i="4"/>
  <c r="S8" i="4" s="1"/>
  <c r="L8" i="4"/>
  <c r="K8" i="4"/>
  <c r="I8" i="4"/>
  <c r="Q8" i="4" s="1"/>
  <c r="H8" i="4"/>
  <c r="M7" i="4"/>
  <c r="S7" i="4" s="1"/>
  <c r="L7" i="4"/>
  <c r="K7" i="4"/>
  <c r="I7" i="4"/>
  <c r="Q7" i="4" s="1"/>
  <c r="H7" i="4"/>
  <c r="P9" i="4" l="1"/>
  <c r="U9" i="4" s="1"/>
  <c r="O9" i="4"/>
  <c r="T9" i="4" s="1"/>
  <c r="N9" i="4"/>
  <c r="R9" i="4" s="1"/>
  <c r="P10" i="4"/>
  <c r="U10" i="4" s="1"/>
  <c r="O10" i="4"/>
  <c r="T10" i="4" s="1"/>
  <c r="N10" i="4"/>
  <c r="R10" i="4" s="1"/>
  <c r="P11" i="4"/>
  <c r="U11" i="4" s="1"/>
  <c r="N11" i="4"/>
  <c r="R11" i="4" s="1"/>
  <c r="O11" i="4"/>
  <c r="T11" i="4" s="1"/>
  <c r="O16" i="4"/>
  <c r="T16" i="4" s="1"/>
  <c r="N16" i="4"/>
  <c r="R16" i="4" s="1"/>
  <c r="P16" i="4"/>
  <c r="U16" i="4" s="1"/>
  <c r="N17" i="4"/>
  <c r="R17" i="4" s="1"/>
  <c r="P17" i="4"/>
  <c r="U17" i="4" s="1"/>
  <c r="O17" i="4"/>
  <c r="T17" i="4" s="1"/>
  <c r="O15" i="4"/>
  <c r="T15" i="4" s="1"/>
  <c r="N15" i="4"/>
  <c r="R15" i="4" s="1"/>
  <c r="P15" i="4"/>
  <c r="U15" i="4" s="1"/>
  <c r="P18" i="4"/>
  <c r="U18" i="4" s="1"/>
  <c r="O18" i="4"/>
  <c r="T18" i="4" s="1"/>
  <c r="N18" i="4"/>
  <c r="R18" i="4" s="1"/>
  <c r="Q10" i="4"/>
  <c r="J14" i="4"/>
  <c r="J13" i="4"/>
  <c r="J8" i="4"/>
  <c r="J12" i="4"/>
  <c r="Q15" i="4"/>
  <c r="J7" i="4"/>
  <c r="P13" i="4" l="1"/>
  <c r="U13" i="4" s="1"/>
  <c r="O13" i="4"/>
  <c r="T13" i="4" s="1"/>
  <c r="N13" i="4"/>
  <c r="R13" i="4" s="1"/>
  <c r="P14" i="4"/>
  <c r="U14" i="4" s="1"/>
  <c r="O14" i="4"/>
  <c r="T14" i="4" s="1"/>
  <c r="N14" i="4"/>
  <c r="R14" i="4" s="1"/>
  <c r="O7" i="4"/>
  <c r="T7" i="4" s="1"/>
  <c r="N7" i="4"/>
  <c r="R7" i="4" s="1"/>
  <c r="P7" i="4"/>
  <c r="U7" i="4" s="1"/>
  <c r="P12" i="4"/>
  <c r="U12" i="4" s="1"/>
  <c r="O12" i="4"/>
  <c r="T12" i="4" s="1"/>
  <c r="N12" i="4"/>
  <c r="R12" i="4" s="1"/>
  <c r="P8" i="4"/>
  <c r="U8" i="4" s="1"/>
  <c r="O8" i="4"/>
  <c r="T8" i="4" s="1"/>
  <c r="N8" i="4"/>
  <c r="R8" i="4"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Unknown Author</author>
  </authors>
  <commentList>
    <comment ref="I7" authorId="0" shapeId="0" xr:uid="{00000000-0006-0000-0300-000001000000}">
      <text>
        <r>
          <rPr>
            <sz val="10"/>
            <rFont val="Arial"/>
            <family val="2"/>
          </rPr>
          <t>Si llenas Peso estimado (columna F) y Volumen CAD (columna G), se usa la densidad real medida por el slicer (más preciso). Si dejas esas celdas vacías, se estima con Infill% x densidad del sólido (aproximación gruesa, ignora paredes/capas sólidas).</t>
        </r>
      </text>
    </comment>
  </commentList>
</comments>
</file>

<file path=xl/sharedStrings.xml><?xml version="1.0" encoding="utf-8"?>
<sst xmlns="http://schemas.openxmlformats.org/spreadsheetml/2006/main" count="114" uniqueCount="107">
  <si>
    <t>LIBRA — Configuración de impresión recomendada (bracket pylon)</t>
  </si>
  <si>
    <t>Material base: PETG (mejor balance accesible resistencia / imprimibilidad para carga cíclica)</t>
  </si>
  <si>
    <t>Parámetro</t>
  </si>
  <si>
    <t>Valor recomendado</t>
  </si>
  <si>
    <t>Motivo</t>
  </si>
  <si>
    <t>Material</t>
  </si>
  <si>
    <t>PETG</t>
  </si>
  <si>
    <t>Mejor adherencia entre capas que ABS/PLA; accesible en impresoras de escritorio</t>
  </si>
  <si>
    <t>Temp. nozzle</t>
  </si>
  <si>
    <t>235–245 °C</t>
  </si>
  <si>
    <t>Rango típico PETG; hacia el extremo alto mejora fusión entre capas</t>
  </si>
  <si>
    <t>Temp. cama</t>
  </si>
  <si>
    <t>80–85 °C</t>
  </si>
  <si>
    <t>Evita warping y mejora adhesión a la base</t>
  </si>
  <si>
    <t>Altura de capa</t>
  </si>
  <si>
    <t>0.16 mm</t>
  </si>
  <si>
    <t>Capas finas → mejor fusión interlayer → menor penalización en Z</t>
  </si>
  <si>
    <t>Ancho de línea</t>
  </si>
  <si>
    <t>0.42 mm (105% de boquilla 0.4 mm)</t>
  </si>
  <si>
    <t>Mejora compactación de cada cordón</t>
  </si>
  <si>
    <t>N° de paredes (perímetros)</t>
  </si>
  <si>
    <t>4</t>
  </si>
  <si>
    <t>En piezas chicas, las paredes cargan la mayor parte del esfuerzo — priorizar sobre infill</t>
  </si>
  <si>
    <t>Capas sólidas superior/inferior</t>
  </si>
  <si>
    <t>6</t>
  </si>
  <si>
    <t>Rigidiza la superficie y evita ver el patrón de infill</t>
  </si>
  <si>
    <t>Patrón de infill</t>
  </si>
  <si>
    <t>Gyroid</t>
  </si>
  <si>
    <t>Comportamiento más isotrópico y eficiente (exponente n,m más bajo) que grid/rectilinear</t>
  </si>
  <si>
    <t>% de infill</t>
  </si>
  <si>
    <t>60%</t>
  </si>
  <si>
    <t>Balance entre resistencia y peso/tiempo; ver hoja Calculadora para otros valores</t>
  </si>
  <si>
    <t>Velocidad de impresión</t>
  </si>
  <si>
    <t>40–50 mm/s</t>
  </si>
  <si>
    <t>Velocidad moderada mejora fusión entre capas, reduce stringing</t>
  </si>
  <si>
    <t>Ventilación (fan)</t>
  </si>
  <si>
    <t>30–50%</t>
  </si>
  <si>
    <t>PETG no tolera enfriamiento agresivo; fan alto fragiliza la unión entre capas</t>
  </si>
  <si>
    <t>Orientación de impresión</t>
  </si>
  <si>
    <t>Eje de carga axial del pylon alineado con el plano XY (capas)</t>
  </si>
  <si>
    <t>Evita que la carga principal trabaje perpendicular a las capas (dirección Z, la más débil)</t>
  </si>
  <si>
    <t>Flujo de trabajo</t>
  </si>
  <si>
    <t>1) Imprime con esta configuración (o la variante de infill que estés probando). 2) Anota en la hoja 'Calculadora Iteraciones' el peso estimado que da tu slicer para esa combinación exacta de paredes/infill/patrón, junto con el volumen del CAD. 3) La hoja calcula la densidad efectiva real y escala rigidez/resistencia con el modelo de sólidos celulares (Gibson-Ashby). 4) Copia los 5 valores de las columnas 'Para Ansys' directo a Engineering Data (Density, Young's Modulus, Poisson's Ratio, Yield Strength, Ultimate Strength).</t>
  </si>
  <si>
    <t>Propiedades base al 100% sólido (valores conservadores, dirección Z / interlayer)</t>
  </si>
  <si>
    <t>Editables en amarillo. Fuente: estimaciones conservadoras de literatura FDM, no datasheet certificado — para screening/comparación, no para reporte final.</t>
  </si>
  <si>
    <t>Densidad rho (g/cm3)</t>
  </si>
  <si>
    <t>E (GPa)</t>
  </si>
  <si>
    <t>Poisson</t>
  </si>
  <si>
    <t>Yield (MPa)</t>
  </si>
  <si>
    <t>Ultimate (MPa)</t>
  </si>
  <si>
    <t>PLA</t>
  </si>
  <si>
    <t>ABS</t>
  </si>
  <si>
    <t>Nylon PA12</t>
  </si>
  <si>
    <t>Nylon-CF (tipo Onyx)</t>
  </si>
  <si>
    <t>Nota:</t>
  </si>
  <si>
    <t>Estos valores representan el extremo débil (interlayer/Z) reportado en estudios de caracterización de FDM, usados a propósito para no sobreestimar resistencia. Reemplázalos por datos de datasheet o ensayo propio si el material final ya está definido.</t>
  </si>
  <si>
    <t>Exponentes de escalado por patrón de infill (modelo de sólidos celulares)</t>
  </si>
  <si>
    <t>E_efectiva = E_sólido x (rho_efectiva/rho_sólido)^n   |   Resistencia_efectiva = Resistencia_sólido x (rho_efectiva/rho_sólido)^m</t>
  </si>
  <si>
    <t>n (rigidez)</t>
  </si>
  <si>
    <t>m (resistencia)</t>
  </si>
  <si>
    <t>Comentario</t>
  </si>
  <si>
    <t>Grid / Rectilinear</t>
  </si>
  <si>
    <t>Estructura tipo flexión — cae más rápido con la densidad</t>
  </si>
  <si>
    <t>Cubic</t>
  </si>
  <si>
    <t>Intermedio</t>
  </si>
  <si>
    <t>Triangular</t>
  </si>
  <si>
    <t>Más eficiente que grid, carga por tracción en las diagonales</t>
  </si>
  <si>
    <t>El más isotrópico y eficiente de los comunes en slicers</t>
  </si>
  <si>
    <t>Calculadora por iteración — de config. de impresión a valores para Ansys</t>
  </si>
  <si>
    <t>Llena solo las columnas en amarillo. El resto se calcula solo. Una fila = una iteración de impresión.</t>
  </si>
  <si>
    <t>ENTRADAS (llenar)</t>
  </si>
  <si>
    <t>DENSIDAD EFECTIVA</t>
  </si>
  <si>
    <t>PROPIEDADES ESCALADAS</t>
  </si>
  <si>
    <t>VALORES PARA ANSYS (Engineering Data)</t>
  </si>
  <si>
    <t>Iteración</t>
  </si>
  <si>
    <t>Material base</t>
  </si>
  <si>
    <t>Patrón infill</t>
  </si>
  <si>
    <t>Infill (%)</t>
  </si>
  <si>
    <t>Peso estimado slicer (g)</t>
  </si>
  <si>
    <t>Volumen CAD (cm3)</t>
  </si>
  <si>
    <t>rho_solido (g/cm3)</t>
  </si>
  <si>
    <t>rho_efectiva (g/cm3)</t>
  </si>
  <si>
    <t>rho_efectiva / rho_solido</t>
  </si>
  <si>
    <t>n</t>
  </si>
  <si>
    <t>m</t>
  </si>
  <si>
    <t>E_efectiva (GPa)</t>
  </si>
  <si>
    <t>Yield_efectiva (MPa)</t>
  </si>
  <si>
    <t>Ultimate_efectiva (MPa)</t>
  </si>
  <si>
    <t>Densidad (kg/m3)</t>
  </si>
  <si>
    <t>Young's Modulus (Pa)</t>
  </si>
  <si>
    <t>Poisson's Ratio</t>
  </si>
  <si>
    <t>Yield Strength (Pa)</t>
  </si>
  <si>
    <t>Ultimate Strength (Pa)</t>
  </si>
  <si>
    <t>Iter 1</t>
  </si>
  <si>
    <t>Iter 2</t>
  </si>
  <si>
    <t>Iter 3</t>
  </si>
  <si>
    <t>Iter 4</t>
  </si>
  <si>
    <t>Iter 5</t>
  </si>
  <si>
    <t>Iter 6</t>
  </si>
  <si>
    <t>Iter 7</t>
  </si>
  <si>
    <t>Iter 8</t>
  </si>
  <si>
    <t>Iter 9</t>
  </si>
  <si>
    <t>Iter 10</t>
  </si>
  <si>
    <t>Iter 11</t>
  </si>
  <si>
    <t>Iter 12</t>
  </si>
  <si>
    <t>Cómo pasar a Ansys:</t>
  </si>
  <si>
    <t>En Engineering Data -&gt; nuevo material -&gt; Properties: agrega 'Density' (columna Q, kg/m3), 'Isotropic Elasticity' con Young's Modulus (columna R, Pa) y Poisson's Ratio (columna S), y 'Tensile Yield Strength' / 'Tensile Ultimate Strength' (columnas T y U, en Pa). Crea un material nuevo por fila/iteración para comparar el Safety Factor entre configuraciones de impresión.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</si>
</sst>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9" x14ac:knownFonts="1">
    <font>
      <sz val="11"/>
      <color theme="1"/>
      <name val="Calibri"/>
      <family val="2"/>
      <charset val="1"/>
    </font>
    <font>
      <b/>
      <sz val="14"/>
      <name val="Arial"/>
      <charset val="1"/>
    </font>
    <font>
      <i/>
      <sz val="11"/>
      <name val="Arial"/>
      <charset val="1"/>
    </font>
    <font>
      <b/>
      <sz val="11"/>
      <color rgb="FFFFFFFF"/>
      <name val="Arial"/>
      <charset val="1"/>
    </font>
    <font>
      <b/>
      <sz val="11"/>
      <name val="Arial"/>
      <charset val="1"/>
    </font>
    <font>
      <i/>
      <sz val="9"/>
      <name val="Arial"/>
      <charset val="1"/>
    </font>
    <font>
      <sz val="11"/>
      <color rgb="FF0000FF"/>
      <name val="Arial"/>
      <charset val="1"/>
    </font>
    <font>
      <sz val="11"/>
      <color rgb="FF000000"/>
      <name val="Arial"/>
      <charset val="1"/>
    </font>
    <font>
      <sz val="10"/>
      <name val="Arial"/>
      <family val="2"/>
    </font>
  </fonts>
  <fills count="4">
    <fill>
      <patternFill patternType="none"/>
    </fill>
    <fill>
      <patternFill patternType="gray125"/>
    </fill>
    <fill>
      <patternFill patternType="solid">
        <fgColor rgb="FF1F4E78"/>
        <bgColor rgb="FF003366"/>
      </patternFill>
    </fill>
    <fill>
      <patternFill patternType="solid">
        <fgColor rgb="FFFFFF00"/>
        <bgColor rgb="FFFFFF00"/>
      </patternFill>
    </fill>
  </fills>
  <borders count="2">
    <border>
      <left/>
      <right/>
      <top/>
      <bottom/>
      <diagonal/>
    </border>
    <border>
      <left style="thin">
        <color rgb="FFBFBFBF"/>
      </left>
      <right style="thin">
        <color rgb="FFBFBFBF"/>
      </right>
      <top style="thin">
        <color rgb="FFBFBFBF"/>
      </top>
      <bottom style="thin">
        <color rgb="FFBFBFBF"/>
      </bottom>
      <diagonal/>
    </border>
  </borders>
  <cellStyleXfs count="1">
    <xf numFmtId="0" fontId="0" fillId="0" borderId="0"/>
  </cellStyleXfs>
  <cellXfs count="22">
    <xf numFmtId="0" fontId="0" fillId="0" borderId="0" xfId="0"/>
    <xf numFmtId="0" fontId="3" fillId="2" borderId="0" xfId="0" applyFont="1" applyFill="1" applyAlignment="1">
      <alignment horizontal="center"/>
    </xf>
    <xf numFmtId="0" fontId="0" fillId="0" borderId="0" xfId="0" applyAlignment="1">
      <alignment wrapText="1"/>
    </xf>
    <xf numFmtId="0" fontId="5" fillId="0" borderId="0" xfId="0" applyFont="1"/>
    <xf numFmtId="0" fontId="0" fillId="0" borderId="0" xfId="0" applyAlignment="1">
      <alignment vertical="top" wrapText="1"/>
    </xf>
    <xf numFmtId="0" fontId="1" fillId="0" borderId="0" xfId="0" applyFont="1"/>
    <xf numFmtId="0" fontId="2" fillId="0" borderId="0" xfId="0" applyFont="1"/>
    <xf numFmtId="0" fontId="3" fillId="2" borderId="1" xfId="0" applyFont="1" applyFill="1" applyBorder="1" applyAlignment="1">
      <alignment horizontal="center" vertical="center" wrapText="1"/>
    </xf>
    <xf numFmtId="0" fontId="4" fillId="0" borderId="1" xfId="0" applyFont="1" applyBorder="1" applyAlignment="1">
      <alignment vertical="center" wrapText="1"/>
    </xf>
    <xf numFmtId="0" fontId="0" fillId="0" borderId="1" xfId="0" applyBorder="1" applyAlignment="1">
      <alignment vertical="center" wrapText="1"/>
    </xf>
    <xf numFmtId="0" fontId="4" fillId="0" borderId="0" xfId="0" applyFont="1"/>
    <xf numFmtId="0" fontId="4" fillId="0" borderId="1" xfId="0" applyFont="1" applyBorder="1"/>
    <xf numFmtId="2" fontId="6" fillId="3" borderId="1" xfId="0" applyNumberFormat="1" applyFont="1" applyFill="1" applyBorder="1"/>
    <xf numFmtId="0" fontId="0" fillId="0" borderId="1" xfId="0" applyBorder="1"/>
    <xf numFmtId="0" fontId="6" fillId="3" borderId="1" xfId="0" applyFont="1" applyFill="1" applyBorder="1"/>
    <xf numFmtId="0" fontId="6" fillId="3" borderId="1" xfId="0" applyFont="1" applyFill="1" applyBorder="1" applyAlignment="1">
      <alignment horizontal="center"/>
    </xf>
    <xf numFmtId="2" fontId="7" fillId="0" borderId="1" xfId="0" applyNumberFormat="1" applyFont="1" applyBorder="1"/>
    <xf numFmtId="164" fontId="7" fillId="0" borderId="1" xfId="0" applyNumberFormat="1" applyFont="1" applyBorder="1"/>
    <xf numFmtId="1" fontId="7" fillId="0" borderId="1" xfId="0" applyNumberFormat="1" applyFont="1" applyBorder="1"/>
    <xf numFmtId="11" fontId="7" fillId="0" borderId="1" xfId="0" applyNumberFormat="1" applyFont="1" applyBorder="1"/>
    <xf numFmtId="11" fontId="6" fillId="3" borderId="1" xfId="0" applyNumberFormat="1" applyFont="1" applyFill="1" applyBorder="1"/>
    <xf numFmtId="0" fontId="7" fillId="0" borderId="1" xfId="0" applyNumberFormat="1" applyFont="1" applyBorder="1"/>
  </cellXfs>
  <cellStyles count="1">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1F4E78"/>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_rels/sheet4.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D21"/>
  <sheetViews>
    <sheetView showGridLines="0" topLeftCell="A7" zoomScaleNormal="100" workbookViewId="0"/>
  </sheetViews>
  <sheetFormatPr defaultColWidth="8.6640625" defaultRowHeight="14.4" x14ac:dyDescent="0.3"/>
  <cols>
    <col min="1" max="1" width="2" customWidth="1"/>
    <col min="2" max="2" width="30" customWidth="1"/>
    <col min="3" max="3" width="34" customWidth="1"/>
    <col min="4" max="4" width="40" customWidth="1"/>
  </cols>
  <sheetData>
    <row r="2" spans="2:4" ht="17.399999999999999" x14ac:dyDescent="0.3">
      <c r="B2" s="5" t="s">
        <v>0</v>
      </c>
    </row>
    <row r="3" spans="2:4" x14ac:dyDescent="0.3">
      <c r="B3" s="6" t="s">
        <v>1</v>
      </c>
    </row>
    <row r="5" spans="2:4" ht="19.5" customHeight="1" x14ac:dyDescent="0.3">
      <c r="B5" s="7" t="s">
        <v>2</v>
      </c>
      <c r="C5" s="7" t="s">
        <v>3</v>
      </c>
      <c r="D5" s="7" t="s">
        <v>4</v>
      </c>
    </row>
    <row r="6" spans="2:4" ht="28.8" x14ac:dyDescent="0.3">
      <c r="B6" s="8" t="s">
        <v>5</v>
      </c>
      <c r="C6" s="9" t="s">
        <v>6</v>
      </c>
      <c r="D6" s="9" t="s">
        <v>7</v>
      </c>
    </row>
    <row r="7" spans="2:4" ht="28.8" x14ac:dyDescent="0.3">
      <c r="B7" s="8" t="s">
        <v>8</v>
      </c>
      <c r="C7" s="9" t="s">
        <v>9</v>
      </c>
      <c r="D7" s="9" t="s">
        <v>10</v>
      </c>
    </row>
    <row r="8" spans="2:4" x14ac:dyDescent="0.3">
      <c r="B8" s="8" t="s">
        <v>11</v>
      </c>
      <c r="C8" s="9" t="s">
        <v>12</v>
      </c>
      <c r="D8" s="9" t="s">
        <v>13</v>
      </c>
    </row>
    <row r="9" spans="2:4" ht="28.8" x14ac:dyDescent="0.3">
      <c r="B9" s="8" t="s">
        <v>14</v>
      </c>
      <c r="C9" s="9" t="s">
        <v>15</v>
      </c>
      <c r="D9" s="9" t="s">
        <v>16</v>
      </c>
    </row>
    <row r="10" spans="2:4" x14ac:dyDescent="0.3">
      <c r="B10" s="8" t="s">
        <v>17</v>
      </c>
      <c r="C10" s="9" t="s">
        <v>18</v>
      </c>
      <c r="D10" s="9" t="s">
        <v>19</v>
      </c>
    </row>
    <row r="11" spans="2:4" ht="28.8" x14ac:dyDescent="0.3">
      <c r="B11" s="8" t="s">
        <v>20</v>
      </c>
      <c r="C11" s="9" t="s">
        <v>21</v>
      </c>
      <c r="D11" s="9" t="s">
        <v>22</v>
      </c>
    </row>
    <row r="12" spans="2:4" ht="28.8" x14ac:dyDescent="0.3">
      <c r="B12" s="8" t="s">
        <v>23</v>
      </c>
      <c r="C12" s="9" t="s">
        <v>24</v>
      </c>
      <c r="D12" s="9" t="s">
        <v>25</v>
      </c>
    </row>
    <row r="13" spans="2:4" ht="28.8" x14ac:dyDescent="0.3">
      <c r="B13" s="8" t="s">
        <v>26</v>
      </c>
      <c r="C13" s="9" t="s">
        <v>27</v>
      </c>
      <c r="D13" s="9" t="s">
        <v>28</v>
      </c>
    </row>
    <row r="14" spans="2:4" ht="28.8" x14ac:dyDescent="0.3">
      <c r="B14" s="8" t="s">
        <v>29</v>
      </c>
      <c r="C14" s="9" t="s">
        <v>30</v>
      </c>
      <c r="D14" s="9" t="s">
        <v>31</v>
      </c>
    </row>
    <row r="15" spans="2:4" ht="28.8" x14ac:dyDescent="0.3">
      <c r="B15" s="8" t="s">
        <v>32</v>
      </c>
      <c r="C15" s="9" t="s">
        <v>33</v>
      </c>
      <c r="D15" s="9" t="s">
        <v>34</v>
      </c>
    </row>
    <row r="16" spans="2:4" ht="28.8" x14ac:dyDescent="0.3">
      <c r="B16" s="8" t="s">
        <v>35</v>
      </c>
      <c r="C16" s="9" t="s">
        <v>36</v>
      </c>
      <c r="D16" s="9" t="s">
        <v>37</v>
      </c>
    </row>
    <row r="17" spans="2:4" ht="43.2" x14ac:dyDescent="0.3">
      <c r="B17" s="8" t="s">
        <v>38</v>
      </c>
      <c r="C17" s="9" t="s">
        <v>39</v>
      </c>
      <c r="D17" s="9" t="s">
        <v>40</v>
      </c>
    </row>
    <row r="20" spans="2:4" x14ac:dyDescent="0.3">
      <c r="B20" s="10" t="s">
        <v>41</v>
      </c>
    </row>
    <row r="21" spans="2:4" ht="90" customHeight="1" x14ac:dyDescent="0.3">
      <c r="B21" s="4" t="s">
        <v>42</v>
      </c>
      <c r="C21" s="4"/>
      <c r="D21" s="4"/>
    </row>
  </sheetData>
  <mergeCells count="1">
    <mergeCell ref="B21:D21"/>
  </mergeCells>
  <pageMargins left="0.75" right="0.75" top="1" bottom="1"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2:G13"/>
  <sheetViews>
    <sheetView showGridLines="0" zoomScaleNormal="100" workbookViewId="0"/>
  </sheetViews>
  <sheetFormatPr defaultColWidth="8.6640625" defaultRowHeight="14.4" x14ac:dyDescent="0.3"/>
  <cols>
    <col min="1" max="1" width="2" customWidth="1"/>
    <col min="2" max="2" width="20" customWidth="1"/>
    <col min="3" max="3" width="18" customWidth="1"/>
    <col min="4" max="5" width="12" customWidth="1"/>
    <col min="6" max="6" width="14" customWidth="1"/>
    <col min="7" max="7" width="16" customWidth="1"/>
  </cols>
  <sheetData>
    <row r="2" spans="2:7" ht="17.399999999999999" x14ac:dyDescent="0.3">
      <c r="B2" s="5" t="s">
        <v>43</v>
      </c>
    </row>
    <row r="3" spans="2:7" x14ac:dyDescent="0.3">
      <c r="B3" s="3" t="s">
        <v>44</v>
      </c>
      <c r="C3" s="3"/>
      <c r="D3" s="3"/>
      <c r="E3" s="3"/>
      <c r="F3" s="3"/>
      <c r="G3" s="3"/>
    </row>
    <row r="5" spans="2:7" ht="30" customHeight="1" x14ac:dyDescent="0.3">
      <c r="B5" s="7" t="s">
        <v>5</v>
      </c>
      <c r="C5" s="7" t="s">
        <v>45</v>
      </c>
      <c r="D5" s="7" t="s">
        <v>46</v>
      </c>
      <c r="E5" s="7" t="s">
        <v>47</v>
      </c>
      <c r="F5" s="7" t="s">
        <v>48</v>
      </c>
      <c r="G5" s="7" t="s">
        <v>49</v>
      </c>
    </row>
    <row r="6" spans="2:7" x14ac:dyDescent="0.3">
      <c r="B6" s="11" t="s">
        <v>50</v>
      </c>
      <c r="C6" s="12">
        <v>1.24</v>
      </c>
      <c r="D6" s="12">
        <v>2.2999999999999998</v>
      </c>
      <c r="E6" s="12">
        <v>0.36</v>
      </c>
      <c r="F6" s="12">
        <v>20</v>
      </c>
      <c r="G6" s="12">
        <v>28</v>
      </c>
    </row>
    <row r="7" spans="2:7" x14ac:dyDescent="0.3">
      <c r="B7" s="11" t="s">
        <v>6</v>
      </c>
      <c r="C7" s="12">
        <v>1.27</v>
      </c>
      <c r="D7" s="12">
        <v>1.8</v>
      </c>
      <c r="E7" s="12">
        <v>0.38</v>
      </c>
      <c r="F7" s="12">
        <v>22</v>
      </c>
      <c r="G7" s="12">
        <v>30</v>
      </c>
    </row>
    <row r="8" spans="2:7" x14ac:dyDescent="0.3">
      <c r="B8" s="11" t="s">
        <v>51</v>
      </c>
      <c r="C8" s="12">
        <v>1.04</v>
      </c>
      <c r="D8" s="12">
        <v>2</v>
      </c>
      <c r="E8" s="12">
        <v>0.35</v>
      </c>
      <c r="F8" s="12">
        <v>16</v>
      </c>
      <c r="G8" s="12">
        <v>20</v>
      </c>
    </row>
    <row r="9" spans="2:7" x14ac:dyDescent="0.3">
      <c r="B9" s="11" t="s">
        <v>52</v>
      </c>
      <c r="C9" s="12">
        <v>1.02</v>
      </c>
      <c r="D9" s="12">
        <v>1.5</v>
      </c>
      <c r="E9" s="12">
        <v>0.39</v>
      </c>
      <c r="F9" s="12">
        <v>30</v>
      </c>
      <c r="G9" s="12">
        <v>40</v>
      </c>
    </row>
    <row r="10" spans="2:7" x14ac:dyDescent="0.3">
      <c r="B10" s="11" t="s">
        <v>53</v>
      </c>
      <c r="C10" s="12">
        <v>1.2</v>
      </c>
      <c r="D10" s="12">
        <v>3</v>
      </c>
      <c r="E10" s="12">
        <v>0.35</v>
      </c>
      <c r="F10" s="12">
        <v>28</v>
      </c>
      <c r="G10" s="12">
        <v>38</v>
      </c>
    </row>
    <row r="13" spans="2:7" ht="45" customHeight="1" x14ac:dyDescent="0.3">
      <c r="B13" s="10" t="s">
        <v>54</v>
      </c>
      <c r="C13" s="2" t="s">
        <v>55</v>
      </c>
      <c r="D13" s="2"/>
      <c r="E13" s="2"/>
      <c r="F13" s="2"/>
      <c r="G13" s="2"/>
    </row>
  </sheetData>
  <mergeCells count="2">
    <mergeCell ref="B3:G3"/>
    <mergeCell ref="C13:G13"/>
  </mergeCells>
  <pageMargins left="0.75" right="0.75" top="1" bottom="1" header="0.511811023622047" footer="0.511811023622047"/>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B2:E9"/>
  <sheetViews>
    <sheetView showGridLines="0" zoomScaleNormal="100" workbookViewId="0"/>
  </sheetViews>
  <sheetFormatPr defaultColWidth="8.6640625" defaultRowHeight="14.4" x14ac:dyDescent="0.3"/>
  <cols>
    <col min="1" max="1" width="2" customWidth="1"/>
    <col min="2" max="2" width="22" customWidth="1"/>
    <col min="3" max="3" width="14" customWidth="1"/>
    <col min="4" max="4" width="16" customWidth="1"/>
    <col min="5" max="5" width="46" customWidth="1"/>
  </cols>
  <sheetData>
    <row r="2" spans="2:5" ht="17.399999999999999" x14ac:dyDescent="0.3">
      <c r="B2" s="5" t="s">
        <v>56</v>
      </c>
    </row>
    <row r="3" spans="2:5" x14ac:dyDescent="0.3">
      <c r="B3" s="3" t="s">
        <v>57</v>
      </c>
      <c r="C3" s="3"/>
      <c r="D3" s="3"/>
      <c r="E3" s="3"/>
    </row>
    <row r="5" spans="2:5" ht="24" customHeight="1" x14ac:dyDescent="0.3">
      <c r="B5" s="7" t="s">
        <v>26</v>
      </c>
      <c r="C5" s="7" t="s">
        <v>58</v>
      </c>
      <c r="D5" s="7" t="s">
        <v>59</v>
      </c>
      <c r="E5" s="7" t="s">
        <v>60</v>
      </c>
    </row>
    <row r="6" spans="2:5" x14ac:dyDescent="0.3">
      <c r="B6" s="11" t="s">
        <v>61</v>
      </c>
      <c r="C6" s="12">
        <v>2</v>
      </c>
      <c r="D6" s="12">
        <v>1.5</v>
      </c>
      <c r="E6" s="13" t="s">
        <v>62</v>
      </c>
    </row>
    <row r="7" spans="2:5" x14ac:dyDescent="0.3">
      <c r="B7" s="11" t="s">
        <v>63</v>
      </c>
      <c r="C7" s="12">
        <v>1.8</v>
      </c>
      <c r="D7" s="12">
        <v>1.4</v>
      </c>
      <c r="E7" s="13" t="s">
        <v>64</v>
      </c>
    </row>
    <row r="8" spans="2:5" x14ac:dyDescent="0.3">
      <c r="B8" s="11" t="s">
        <v>65</v>
      </c>
      <c r="C8" s="12">
        <v>1.6</v>
      </c>
      <c r="D8" s="12">
        <v>1.3</v>
      </c>
      <c r="E8" s="13" t="s">
        <v>66</v>
      </c>
    </row>
    <row r="9" spans="2:5" x14ac:dyDescent="0.3">
      <c r="B9" s="11" t="s">
        <v>27</v>
      </c>
      <c r="C9" s="12">
        <v>1.5</v>
      </c>
      <c r="D9" s="12">
        <v>1.3</v>
      </c>
      <c r="E9" s="13" t="s">
        <v>67</v>
      </c>
    </row>
  </sheetData>
  <mergeCells count="1">
    <mergeCell ref="B3:E3"/>
  </mergeCells>
  <pageMargins left="0.75" right="0.75" top="1" bottom="1" header="0.511811023622047" footer="0.511811023622047"/>
  <pageSetup paperSize="9" orientation="portrait" horizontalDpi="300" verticalDpi="300"/>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B2:U22"/>
  <sheetViews>
    <sheetView showGridLines="0" tabSelected="1" zoomScaleNormal="100" workbookViewId="0">
      <selection activeCell="E7" sqref="E7"/>
    </sheetView>
  </sheetViews>
  <sheetFormatPr defaultColWidth="8.6640625" defaultRowHeight="14.4" x14ac:dyDescent="0.3"/>
  <cols>
    <col min="1" max="1" width="2" customWidth="1"/>
    <col min="2" max="2" width="10" customWidth="1"/>
    <col min="3" max="3" width="14" customWidth="1"/>
    <col min="4" max="4" width="12" customWidth="1"/>
    <col min="5" max="5" width="10" customWidth="1"/>
    <col min="6" max="6" width="16" customWidth="1"/>
    <col min="7" max="7" width="14" customWidth="1"/>
    <col min="8" max="9" width="12" customWidth="1"/>
    <col min="10" max="10" width="14" customWidth="1"/>
    <col min="11" max="12" width="8" customWidth="1"/>
    <col min="13" max="13" width="10" customWidth="1"/>
    <col min="14" max="14" width="12" customWidth="1"/>
    <col min="15" max="15" width="14" customWidth="1"/>
    <col min="16" max="16" width="16" customWidth="1"/>
    <col min="17" max="17" width="12" customWidth="1"/>
    <col min="18" max="18" width="14" customWidth="1"/>
    <col min="19" max="19" width="12" customWidth="1"/>
    <col min="20" max="20" width="14" customWidth="1"/>
    <col min="21" max="21" width="16" customWidth="1"/>
  </cols>
  <sheetData>
    <row r="2" spans="2:21" ht="17.399999999999999" x14ac:dyDescent="0.3">
      <c r="B2" s="5" t="s">
        <v>68</v>
      </c>
    </row>
    <row r="3" spans="2:21" x14ac:dyDescent="0.3">
      <c r="B3" s="3" t="s">
        <v>69</v>
      </c>
      <c r="C3" s="3"/>
      <c r="D3" s="3"/>
      <c r="E3" s="3"/>
      <c r="F3" s="3"/>
      <c r="G3" s="3"/>
      <c r="H3" s="3"/>
      <c r="I3" s="3"/>
      <c r="J3" s="3"/>
      <c r="K3" s="3"/>
      <c r="L3" s="3"/>
      <c r="M3" s="3"/>
      <c r="N3" s="3"/>
      <c r="O3" s="3"/>
      <c r="P3" s="3"/>
      <c r="Q3" s="3"/>
      <c r="R3" s="3"/>
      <c r="S3" s="3"/>
      <c r="T3" s="3"/>
      <c r="U3" s="3"/>
    </row>
    <row r="5" spans="2:21" x14ac:dyDescent="0.3">
      <c r="B5" s="1" t="s">
        <v>70</v>
      </c>
      <c r="C5" s="1"/>
      <c r="D5" s="1"/>
      <c r="E5" s="1"/>
      <c r="F5" s="1"/>
      <c r="G5" s="1"/>
      <c r="H5" s="1" t="s">
        <v>71</v>
      </c>
      <c r="I5" s="1"/>
      <c r="J5" s="1"/>
      <c r="K5" s="1" t="s">
        <v>72</v>
      </c>
      <c r="L5" s="1"/>
      <c r="M5" s="1"/>
      <c r="N5" s="1"/>
      <c r="O5" s="1"/>
      <c r="P5" s="1"/>
      <c r="Q5" s="1" t="s">
        <v>73</v>
      </c>
      <c r="R5" s="1"/>
      <c r="S5" s="1"/>
      <c r="T5" s="1"/>
      <c r="U5" s="1"/>
    </row>
    <row r="6" spans="2:21" ht="42" customHeight="1" x14ac:dyDescent="0.3">
      <c r="B6" s="7" t="s">
        <v>74</v>
      </c>
      <c r="C6" s="7" t="s">
        <v>75</v>
      </c>
      <c r="D6" s="7" t="s">
        <v>76</v>
      </c>
      <c r="E6" s="7" t="s">
        <v>77</v>
      </c>
      <c r="F6" s="7" t="s">
        <v>78</v>
      </c>
      <c r="G6" s="7" t="s">
        <v>79</v>
      </c>
      <c r="H6" s="7" t="s">
        <v>80</v>
      </c>
      <c r="I6" s="7" t="s">
        <v>81</v>
      </c>
      <c r="J6" s="7" t="s">
        <v>82</v>
      </c>
      <c r="K6" s="7" t="s">
        <v>83</v>
      </c>
      <c r="L6" s="7" t="s">
        <v>84</v>
      </c>
      <c r="M6" s="7" t="s">
        <v>47</v>
      </c>
      <c r="N6" s="7" t="s">
        <v>85</v>
      </c>
      <c r="O6" s="7" t="s">
        <v>86</v>
      </c>
      <c r="P6" s="7" t="s">
        <v>87</v>
      </c>
      <c r="Q6" s="7" t="s">
        <v>88</v>
      </c>
      <c r="R6" s="7" t="s">
        <v>89</v>
      </c>
      <c r="S6" s="7" t="s">
        <v>90</v>
      </c>
      <c r="T6" s="7" t="s">
        <v>91</v>
      </c>
      <c r="U6" s="7" t="s">
        <v>92</v>
      </c>
    </row>
    <row r="7" spans="2:21" x14ac:dyDescent="0.3">
      <c r="B7" s="11" t="s">
        <v>93</v>
      </c>
      <c r="C7" s="14" t="s">
        <v>6</v>
      </c>
      <c r="D7" s="14" t="s">
        <v>61</v>
      </c>
      <c r="E7" s="15">
        <v>60</v>
      </c>
      <c r="F7" s="14">
        <v>179.91</v>
      </c>
      <c r="G7" s="20">
        <v>223.8</v>
      </c>
      <c r="H7" s="16">
        <f>IFERROR(INDEX('Propiedades Base'!$B$6:$G$10,MATCH(C7,'Propiedades Base'!$B$6:$B$10,0),2),"")</f>
        <v>1.27</v>
      </c>
      <c r="I7" s="16">
        <f t="shared" ref="I7:I18" si="0">IFERROR(IF(AND(F7&lt;&gt;"",G7&lt;&gt;"",G7&lt;&gt;0),F7/G7,IF(E7&lt;&gt;"",(E7/100)*H7,"")),"")</f>
        <v>0.80388739946380694</v>
      </c>
      <c r="J7" s="16">
        <f t="shared" ref="J7:J18" si="1">IFERROR(I7/H7,"")</f>
        <v>0.63298220430221019</v>
      </c>
      <c r="K7" s="16">
        <f>IFERROR(INDEX('Patrones Infill'!$B$6:$D$9,MATCH(D7,'Patrones Infill'!$B$6:$B$9,0),2),"")</f>
        <v>2</v>
      </c>
      <c r="L7" s="16">
        <f>IFERROR(INDEX('Patrones Infill'!$B$6:$D$9,MATCH(D7,'Patrones Infill'!$B$6:$B$9,0),3),"")</f>
        <v>1.5</v>
      </c>
      <c r="M7" s="16">
        <f>IFERROR(INDEX('Propiedades Base'!$B$6:$G$10,MATCH(C7,'Propiedades Base'!$B$6:$B$10,0),4),"")</f>
        <v>0.38</v>
      </c>
      <c r="N7" s="16">
        <f>IFERROR(IFERROR(INDEX('Propiedades Base'!$B$6:$G$10,MATCH(C7,'Propiedades Base'!$B$6:$B$10,0),3),"")*POWER(J7,K7),"")</f>
        <v>0.72119964773391287</v>
      </c>
      <c r="O7" s="17">
        <f>IFERROR(IFERROR(INDEX('Propiedades Base'!$B$6:$G$10,MATCH(C7,'Propiedades Base'!$B$6:$B$10,0),5),"")*POWER(J7,L7),"")</f>
        <v>11.079239010621558</v>
      </c>
      <c r="P7" s="17">
        <f>IFERROR(IFERROR(INDEX('Propiedades Base'!$B$6:$G$10,MATCH(C7,'Propiedades Base'!$B$6:$B$10,0),6),"")*POWER(J7,L7),"")</f>
        <v>15.108053196302125</v>
      </c>
      <c r="Q7" s="18">
        <f t="shared" ref="Q7:Q18" si="2">IFERROR(I7*1000,"")</f>
        <v>803.8873994638069</v>
      </c>
      <c r="R7" s="21">
        <f t="shared" ref="R7:R18" si="3">IFERROR(N7*1000000000,"")</f>
        <v>721199647.73391283</v>
      </c>
      <c r="S7" s="16">
        <f t="shared" ref="S7:S18" si="4">IFERROR(M7,"")</f>
        <v>0.38</v>
      </c>
      <c r="T7" s="21">
        <f t="shared" ref="T7:T18" si="5">IFERROR(O7*1000000,"")</f>
        <v>11079239.010621559</v>
      </c>
      <c r="U7" s="21">
        <f t="shared" ref="U7:U18" si="6">IFERROR(P7*1000000,"")</f>
        <v>15108053.196302125</v>
      </c>
    </row>
    <row r="8" spans="2:21" x14ac:dyDescent="0.3">
      <c r="B8" s="11" t="s">
        <v>94</v>
      </c>
      <c r="C8" s="14"/>
      <c r="D8" s="14"/>
      <c r="E8" s="15"/>
      <c r="F8" s="14"/>
      <c r="G8" s="14"/>
      <c r="H8" s="16" t="str">
        <f>IFERROR(INDEX('Propiedades Base'!$B$6:$G$10,MATCH(C8,'Propiedades Base'!$B$6:$B$10,0),2),"")</f>
        <v/>
      </c>
      <c r="I8" s="16" t="str">
        <f t="shared" si="0"/>
        <v/>
      </c>
      <c r="J8" s="16" t="str">
        <f t="shared" si="1"/>
        <v/>
      </c>
      <c r="K8" s="16" t="str">
        <f>IFERROR(INDEX('Patrones Infill'!$B$6:$D$9,MATCH(D8,'Patrones Infill'!$B$6:$B$9,0),2),"")</f>
        <v/>
      </c>
      <c r="L8" s="16" t="str">
        <f>IFERROR(INDEX('Patrones Infill'!$B$6:$D$9,MATCH(D8,'Patrones Infill'!$B$6:$B$9,0),3),"")</f>
        <v/>
      </c>
      <c r="M8" s="16" t="str">
        <f>IFERROR(INDEX('Propiedades Base'!$B$6:$G$10,MATCH(C8,'Propiedades Base'!$B$6:$B$10,0),4),"")</f>
        <v/>
      </c>
      <c r="N8" s="16" t="str">
        <f>IFERROR(IFERROR(INDEX('Propiedades Base'!$B$6:$G$10,MATCH(C8,'Propiedades Base'!$B$6:$B$10,0),3),"")*POWER(J8,K8),"")</f>
        <v/>
      </c>
      <c r="O8" s="17" t="str">
        <f>IFERROR(IFERROR(INDEX('Propiedades Base'!$B$6:$G$10,MATCH(C8,'Propiedades Base'!$B$6:$B$10,0),5),"")*POWER(J8,L8),"")</f>
        <v/>
      </c>
      <c r="P8" s="17" t="str">
        <f>IFERROR(IFERROR(INDEX('Propiedades Base'!$B$6:$G$10,MATCH(C8,'Propiedades Base'!$B$6:$B$10,0),6),"")*POWER(J8,L8),"")</f>
        <v/>
      </c>
      <c r="Q8" s="18" t="str">
        <f t="shared" si="2"/>
        <v/>
      </c>
      <c r="R8" s="19" t="str">
        <f t="shared" si="3"/>
        <v/>
      </c>
      <c r="S8" s="16" t="str">
        <f t="shared" si="4"/>
        <v/>
      </c>
      <c r="T8" s="19" t="str">
        <f t="shared" si="5"/>
        <v/>
      </c>
      <c r="U8" s="19" t="str">
        <f t="shared" si="6"/>
        <v/>
      </c>
    </row>
    <row r="9" spans="2:21" x14ac:dyDescent="0.3">
      <c r="B9" s="11" t="s">
        <v>95</v>
      </c>
      <c r="C9" s="14"/>
      <c r="D9" s="14"/>
      <c r="E9" s="15"/>
      <c r="F9" s="14"/>
      <c r="G9" s="14"/>
      <c r="H9" s="16" t="str">
        <f>IFERROR(INDEX('Propiedades Base'!$B$6:$G$10,MATCH(C9,'Propiedades Base'!$B$6:$B$10,0),2),"")</f>
        <v/>
      </c>
      <c r="I9" s="16" t="str">
        <f t="shared" si="0"/>
        <v/>
      </c>
      <c r="J9" s="16" t="str">
        <f t="shared" si="1"/>
        <v/>
      </c>
      <c r="K9" s="16" t="str">
        <f>IFERROR(INDEX('Patrones Infill'!$B$6:$D$9,MATCH(D9,'Patrones Infill'!$B$6:$B$9,0),2),"")</f>
        <v/>
      </c>
      <c r="L9" s="16" t="str">
        <f>IFERROR(INDEX('Patrones Infill'!$B$6:$D$9,MATCH(D9,'Patrones Infill'!$B$6:$B$9,0),3),"")</f>
        <v/>
      </c>
      <c r="M9" s="16" t="str">
        <f>IFERROR(INDEX('Propiedades Base'!$B$6:$G$10,MATCH(C9,'Propiedades Base'!$B$6:$B$10,0),4),"")</f>
        <v/>
      </c>
      <c r="N9" s="16" t="str">
        <f>IFERROR(IFERROR(INDEX('Propiedades Base'!$B$6:$G$10,MATCH(C9,'Propiedades Base'!$B$6:$B$10,0),3),"")*POWER(J9,K9),"")</f>
        <v/>
      </c>
      <c r="O9" s="17" t="str">
        <f>IFERROR(IFERROR(INDEX('Propiedades Base'!$B$6:$G$10,MATCH(C9,'Propiedades Base'!$B$6:$B$10,0),5),"")*POWER(J9,L9),"")</f>
        <v/>
      </c>
      <c r="P9" s="17" t="str">
        <f>IFERROR(IFERROR(INDEX('Propiedades Base'!$B$6:$G$10,MATCH(C9,'Propiedades Base'!$B$6:$B$10,0),6),"")*POWER(J9,L9),"")</f>
        <v/>
      </c>
      <c r="Q9" s="18" t="str">
        <f t="shared" si="2"/>
        <v/>
      </c>
      <c r="R9" s="19" t="str">
        <f t="shared" si="3"/>
        <v/>
      </c>
      <c r="S9" s="16" t="str">
        <f t="shared" si="4"/>
        <v/>
      </c>
      <c r="T9" s="19" t="str">
        <f t="shared" si="5"/>
        <v/>
      </c>
      <c r="U9" s="19" t="str">
        <f t="shared" si="6"/>
        <v/>
      </c>
    </row>
    <row r="10" spans="2:21" x14ac:dyDescent="0.3">
      <c r="B10" s="11" t="s">
        <v>96</v>
      </c>
      <c r="C10" s="14"/>
      <c r="D10" s="14"/>
      <c r="E10" s="15"/>
      <c r="F10" s="14"/>
      <c r="G10" s="14"/>
      <c r="H10" s="16" t="str">
        <f>IFERROR(INDEX('Propiedades Base'!$B$6:$G$10,MATCH(C10,'Propiedades Base'!$B$6:$B$10,0),2),"")</f>
        <v/>
      </c>
      <c r="I10" s="16" t="str">
        <f t="shared" si="0"/>
        <v/>
      </c>
      <c r="J10" s="16" t="str">
        <f t="shared" si="1"/>
        <v/>
      </c>
      <c r="K10" s="16" t="str">
        <f>IFERROR(INDEX('Patrones Infill'!$B$6:$D$9,MATCH(D10,'Patrones Infill'!$B$6:$B$9,0),2),"")</f>
        <v/>
      </c>
      <c r="L10" s="16" t="str">
        <f>IFERROR(INDEX('Patrones Infill'!$B$6:$D$9,MATCH(D10,'Patrones Infill'!$B$6:$B$9,0),3),"")</f>
        <v/>
      </c>
      <c r="M10" s="16" t="str">
        <f>IFERROR(INDEX('Propiedades Base'!$B$6:$G$10,MATCH(C10,'Propiedades Base'!$B$6:$B$10,0),4),"")</f>
        <v/>
      </c>
      <c r="N10" s="16" t="str">
        <f>IFERROR(IFERROR(INDEX('Propiedades Base'!$B$6:$G$10,MATCH(C10,'Propiedades Base'!$B$6:$B$10,0),3),"")*POWER(J10,K10),"")</f>
        <v/>
      </c>
      <c r="O10" s="17" t="str">
        <f>IFERROR(IFERROR(INDEX('Propiedades Base'!$B$6:$G$10,MATCH(C10,'Propiedades Base'!$B$6:$B$10,0),5),"")*POWER(J10,L10),"")</f>
        <v/>
      </c>
      <c r="P10" s="17" t="str">
        <f>IFERROR(IFERROR(INDEX('Propiedades Base'!$B$6:$G$10,MATCH(C10,'Propiedades Base'!$B$6:$B$10,0),6),"")*POWER(J10,L10),"")</f>
        <v/>
      </c>
      <c r="Q10" s="18" t="str">
        <f t="shared" si="2"/>
        <v/>
      </c>
      <c r="R10" s="19" t="str">
        <f t="shared" si="3"/>
        <v/>
      </c>
      <c r="S10" s="16" t="str">
        <f t="shared" si="4"/>
        <v/>
      </c>
      <c r="T10" s="19" t="str">
        <f t="shared" si="5"/>
        <v/>
      </c>
      <c r="U10" s="19" t="str">
        <f t="shared" si="6"/>
        <v/>
      </c>
    </row>
    <row r="11" spans="2:21" x14ac:dyDescent="0.3">
      <c r="B11" s="11" t="s">
        <v>97</v>
      </c>
      <c r="C11" s="14"/>
      <c r="D11" s="14"/>
      <c r="E11" s="15"/>
      <c r="F11" s="14"/>
      <c r="G11" s="14"/>
      <c r="H11" s="16" t="str">
        <f>IFERROR(INDEX('Propiedades Base'!$B$6:$G$10,MATCH(C11,'Propiedades Base'!$B$6:$B$10,0),2),"")</f>
        <v/>
      </c>
      <c r="I11" s="16" t="str">
        <f t="shared" si="0"/>
        <v/>
      </c>
      <c r="J11" s="16" t="str">
        <f t="shared" si="1"/>
        <v/>
      </c>
      <c r="K11" s="16" t="str">
        <f>IFERROR(INDEX('Patrones Infill'!$B$6:$D$9,MATCH(D11,'Patrones Infill'!$B$6:$B$9,0),2),"")</f>
        <v/>
      </c>
      <c r="L11" s="16" t="str">
        <f>IFERROR(INDEX('Patrones Infill'!$B$6:$D$9,MATCH(D11,'Patrones Infill'!$B$6:$B$9,0),3),"")</f>
        <v/>
      </c>
      <c r="M11" s="16" t="str">
        <f>IFERROR(INDEX('Propiedades Base'!$B$6:$G$10,MATCH(C11,'Propiedades Base'!$B$6:$B$10,0),4),"")</f>
        <v/>
      </c>
      <c r="N11" s="16" t="str">
        <f>IFERROR(IFERROR(INDEX('Propiedades Base'!$B$6:$G$10,MATCH(C11,'Propiedades Base'!$B$6:$B$10,0),3),"")*POWER(J11,K11),"")</f>
        <v/>
      </c>
      <c r="O11" s="17" t="str">
        <f>IFERROR(IFERROR(INDEX('Propiedades Base'!$B$6:$G$10,MATCH(C11,'Propiedades Base'!$B$6:$B$10,0),5),"")*POWER(J11,L11),"")</f>
        <v/>
      </c>
      <c r="P11" s="17" t="str">
        <f>IFERROR(IFERROR(INDEX('Propiedades Base'!$B$6:$G$10,MATCH(C11,'Propiedades Base'!$B$6:$B$10,0),6),"")*POWER(J11,L11),"")</f>
        <v/>
      </c>
      <c r="Q11" s="18" t="str">
        <f t="shared" si="2"/>
        <v/>
      </c>
      <c r="R11" s="19" t="str">
        <f t="shared" si="3"/>
        <v/>
      </c>
      <c r="S11" s="16" t="str">
        <f t="shared" si="4"/>
        <v/>
      </c>
      <c r="T11" s="19" t="str">
        <f t="shared" si="5"/>
        <v/>
      </c>
      <c r="U11" s="19" t="str">
        <f t="shared" si="6"/>
        <v/>
      </c>
    </row>
    <row r="12" spans="2:21" x14ac:dyDescent="0.3">
      <c r="B12" s="11" t="s">
        <v>98</v>
      </c>
      <c r="C12" s="14"/>
      <c r="D12" s="14"/>
      <c r="E12" s="15"/>
      <c r="F12" s="14"/>
      <c r="G12" s="14"/>
      <c r="H12" s="16" t="str">
        <f>IFERROR(INDEX('Propiedades Base'!$B$6:$G$10,MATCH(C12,'Propiedades Base'!$B$6:$B$10,0),2),"")</f>
        <v/>
      </c>
      <c r="I12" s="16" t="str">
        <f t="shared" si="0"/>
        <v/>
      </c>
      <c r="J12" s="16" t="str">
        <f t="shared" si="1"/>
        <v/>
      </c>
      <c r="K12" s="16" t="str">
        <f>IFERROR(INDEX('Patrones Infill'!$B$6:$D$9,MATCH(D12,'Patrones Infill'!$B$6:$B$9,0),2),"")</f>
        <v/>
      </c>
      <c r="L12" s="16" t="str">
        <f>IFERROR(INDEX('Patrones Infill'!$B$6:$D$9,MATCH(D12,'Patrones Infill'!$B$6:$B$9,0),3),"")</f>
        <v/>
      </c>
      <c r="M12" s="16" t="str">
        <f>IFERROR(INDEX('Propiedades Base'!$B$6:$G$10,MATCH(C12,'Propiedades Base'!$B$6:$B$10,0),4),"")</f>
        <v/>
      </c>
      <c r="N12" s="16" t="str">
        <f>IFERROR(IFERROR(INDEX('Propiedades Base'!$B$6:$G$10,MATCH(C12,'Propiedades Base'!$B$6:$B$10,0),3),"")*POWER(J12,K12),"")</f>
        <v/>
      </c>
      <c r="O12" s="17" t="str">
        <f>IFERROR(IFERROR(INDEX('Propiedades Base'!$B$6:$G$10,MATCH(C12,'Propiedades Base'!$B$6:$B$10,0),5),"")*POWER(J12,L12),"")</f>
        <v/>
      </c>
      <c r="P12" s="17" t="str">
        <f>IFERROR(IFERROR(INDEX('Propiedades Base'!$B$6:$G$10,MATCH(C12,'Propiedades Base'!$B$6:$B$10,0),6),"")*POWER(J12,L12),"")</f>
        <v/>
      </c>
      <c r="Q12" s="18" t="str">
        <f t="shared" si="2"/>
        <v/>
      </c>
      <c r="R12" s="19" t="str">
        <f t="shared" si="3"/>
        <v/>
      </c>
      <c r="S12" s="16" t="str">
        <f t="shared" si="4"/>
        <v/>
      </c>
      <c r="T12" s="19" t="str">
        <f t="shared" si="5"/>
        <v/>
      </c>
      <c r="U12" s="19" t="str">
        <f t="shared" si="6"/>
        <v/>
      </c>
    </row>
    <row r="13" spans="2:21" x14ac:dyDescent="0.3">
      <c r="B13" s="11" t="s">
        <v>99</v>
      </c>
      <c r="C13" s="14"/>
      <c r="D13" s="14"/>
      <c r="E13" s="15"/>
      <c r="F13" s="14"/>
      <c r="G13" s="14"/>
      <c r="H13" s="16" t="str">
        <f>IFERROR(INDEX('Propiedades Base'!$B$6:$G$10,MATCH(C13,'Propiedades Base'!$B$6:$B$10,0),2),"")</f>
        <v/>
      </c>
      <c r="I13" s="16" t="str">
        <f t="shared" si="0"/>
        <v/>
      </c>
      <c r="J13" s="16" t="str">
        <f t="shared" si="1"/>
        <v/>
      </c>
      <c r="K13" s="16" t="str">
        <f>IFERROR(INDEX('Patrones Infill'!$B$6:$D$9,MATCH(D13,'Patrones Infill'!$B$6:$B$9,0),2),"")</f>
        <v/>
      </c>
      <c r="L13" s="16" t="str">
        <f>IFERROR(INDEX('Patrones Infill'!$B$6:$D$9,MATCH(D13,'Patrones Infill'!$B$6:$B$9,0),3),"")</f>
        <v/>
      </c>
      <c r="M13" s="16" t="str">
        <f>IFERROR(INDEX('Propiedades Base'!$B$6:$G$10,MATCH(C13,'Propiedades Base'!$B$6:$B$10,0),4),"")</f>
        <v/>
      </c>
      <c r="N13" s="16" t="str">
        <f>IFERROR(IFERROR(INDEX('Propiedades Base'!$B$6:$G$10,MATCH(C13,'Propiedades Base'!$B$6:$B$10,0),3),"")*POWER(J13,K13),"")</f>
        <v/>
      </c>
      <c r="O13" s="17" t="str">
        <f>IFERROR(IFERROR(INDEX('Propiedades Base'!$B$6:$G$10,MATCH(C13,'Propiedades Base'!$B$6:$B$10,0),5),"")*POWER(J13,L13),"")</f>
        <v/>
      </c>
      <c r="P13" s="17" t="str">
        <f>IFERROR(IFERROR(INDEX('Propiedades Base'!$B$6:$G$10,MATCH(C13,'Propiedades Base'!$B$6:$B$10,0),6),"")*POWER(J13,L13),"")</f>
        <v/>
      </c>
      <c r="Q13" s="18" t="str">
        <f t="shared" si="2"/>
        <v/>
      </c>
      <c r="R13" s="19" t="str">
        <f t="shared" si="3"/>
        <v/>
      </c>
      <c r="S13" s="16" t="str">
        <f t="shared" si="4"/>
        <v/>
      </c>
      <c r="T13" s="19" t="str">
        <f t="shared" si="5"/>
        <v/>
      </c>
      <c r="U13" s="19" t="str">
        <f t="shared" si="6"/>
        <v/>
      </c>
    </row>
    <row r="14" spans="2:21" x14ac:dyDescent="0.3">
      <c r="B14" s="11" t="s">
        <v>100</v>
      </c>
      <c r="C14" s="14"/>
      <c r="D14" s="14"/>
      <c r="E14" s="15"/>
      <c r="F14" s="14"/>
      <c r="G14" s="14"/>
      <c r="H14" s="16" t="str">
        <f>IFERROR(INDEX('Propiedades Base'!$B$6:$G$10,MATCH(C14,'Propiedades Base'!$B$6:$B$10,0),2),"")</f>
        <v/>
      </c>
      <c r="I14" s="16" t="str">
        <f t="shared" si="0"/>
        <v/>
      </c>
      <c r="J14" s="16" t="str">
        <f t="shared" si="1"/>
        <v/>
      </c>
      <c r="K14" s="16" t="str">
        <f>IFERROR(INDEX('Patrones Infill'!$B$6:$D$9,MATCH(D14,'Patrones Infill'!$B$6:$B$9,0),2),"")</f>
        <v/>
      </c>
      <c r="L14" s="16" t="str">
        <f>IFERROR(INDEX('Patrones Infill'!$B$6:$D$9,MATCH(D14,'Patrones Infill'!$B$6:$B$9,0),3),"")</f>
        <v/>
      </c>
      <c r="M14" s="16" t="str">
        <f>IFERROR(INDEX('Propiedades Base'!$B$6:$G$10,MATCH(C14,'Propiedades Base'!$B$6:$B$10,0),4),"")</f>
        <v/>
      </c>
      <c r="N14" s="16" t="str">
        <f>IFERROR(IFERROR(INDEX('Propiedades Base'!$B$6:$G$10,MATCH(C14,'Propiedades Base'!$B$6:$B$10,0),3),"")*POWER(J14,K14),"")</f>
        <v/>
      </c>
      <c r="O14" s="17" t="str">
        <f>IFERROR(IFERROR(INDEX('Propiedades Base'!$B$6:$G$10,MATCH(C14,'Propiedades Base'!$B$6:$B$10,0),5),"")*POWER(J14,L14),"")</f>
        <v/>
      </c>
      <c r="P14" s="17" t="str">
        <f>IFERROR(IFERROR(INDEX('Propiedades Base'!$B$6:$G$10,MATCH(C14,'Propiedades Base'!$B$6:$B$10,0),6),"")*POWER(J14,L14),"")</f>
        <v/>
      </c>
      <c r="Q14" s="18" t="str">
        <f t="shared" si="2"/>
        <v/>
      </c>
      <c r="R14" s="19" t="str">
        <f t="shared" si="3"/>
        <v/>
      </c>
      <c r="S14" s="16" t="str">
        <f t="shared" si="4"/>
        <v/>
      </c>
      <c r="T14" s="19" t="str">
        <f t="shared" si="5"/>
        <v/>
      </c>
      <c r="U14" s="19" t="str">
        <f t="shared" si="6"/>
        <v/>
      </c>
    </row>
    <row r="15" spans="2:21" x14ac:dyDescent="0.3">
      <c r="B15" s="11" t="s">
        <v>101</v>
      </c>
      <c r="C15" s="14"/>
      <c r="D15" s="14"/>
      <c r="E15" s="15"/>
      <c r="F15" s="14"/>
      <c r="G15" s="14"/>
      <c r="H15" s="16" t="str">
        <f>IFERROR(INDEX('Propiedades Base'!$B$6:$G$10,MATCH(C15,'Propiedades Base'!$B$6:$B$10,0),2),"")</f>
        <v/>
      </c>
      <c r="I15" s="16" t="str">
        <f t="shared" si="0"/>
        <v/>
      </c>
      <c r="J15" s="16" t="str">
        <f t="shared" si="1"/>
        <v/>
      </c>
      <c r="K15" s="16" t="str">
        <f>IFERROR(INDEX('Patrones Infill'!$B$6:$D$9,MATCH(D15,'Patrones Infill'!$B$6:$B$9,0),2),"")</f>
        <v/>
      </c>
      <c r="L15" s="16" t="str">
        <f>IFERROR(INDEX('Patrones Infill'!$B$6:$D$9,MATCH(D15,'Patrones Infill'!$B$6:$B$9,0),3),"")</f>
        <v/>
      </c>
      <c r="M15" s="16" t="str">
        <f>IFERROR(INDEX('Propiedades Base'!$B$6:$G$10,MATCH(C15,'Propiedades Base'!$B$6:$B$10,0),4),"")</f>
        <v/>
      </c>
      <c r="N15" s="16" t="str">
        <f>IFERROR(IFERROR(INDEX('Propiedades Base'!$B$6:$G$10,MATCH(C15,'Propiedades Base'!$B$6:$B$10,0),3),"")*POWER(J15,K15),"")</f>
        <v/>
      </c>
      <c r="O15" s="17" t="str">
        <f>IFERROR(IFERROR(INDEX('Propiedades Base'!$B$6:$G$10,MATCH(C15,'Propiedades Base'!$B$6:$B$10,0),5),"")*POWER(J15,L15),"")</f>
        <v/>
      </c>
      <c r="P15" s="17" t="str">
        <f>IFERROR(IFERROR(INDEX('Propiedades Base'!$B$6:$G$10,MATCH(C15,'Propiedades Base'!$B$6:$B$10,0),6),"")*POWER(J15,L15),"")</f>
        <v/>
      </c>
      <c r="Q15" s="18" t="str">
        <f t="shared" si="2"/>
        <v/>
      </c>
      <c r="R15" s="19" t="str">
        <f t="shared" si="3"/>
        <v/>
      </c>
      <c r="S15" s="16" t="str">
        <f t="shared" si="4"/>
        <v/>
      </c>
      <c r="T15" s="19" t="str">
        <f t="shared" si="5"/>
        <v/>
      </c>
      <c r="U15" s="19" t="str">
        <f t="shared" si="6"/>
        <v/>
      </c>
    </row>
    <row r="16" spans="2:21" x14ac:dyDescent="0.3">
      <c r="B16" s="11" t="s">
        <v>102</v>
      </c>
      <c r="C16" s="14"/>
      <c r="D16" s="14"/>
      <c r="E16" s="15"/>
      <c r="F16" s="14"/>
      <c r="G16" s="14"/>
      <c r="H16" s="16" t="str">
        <f>IFERROR(INDEX('Propiedades Base'!$B$6:$G$10,MATCH(C16,'Propiedades Base'!$B$6:$B$10,0),2),"")</f>
        <v/>
      </c>
      <c r="I16" s="16" t="str">
        <f t="shared" si="0"/>
        <v/>
      </c>
      <c r="J16" s="16" t="str">
        <f t="shared" si="1"/>
        <v/>
      </c>
      <c r="K16" s="16" t="str">
        <f>IFERROR(INDEX('Patrones Infill'!$B$6:$D$9,MATCH(D16,'Patrones Infill'!$B$6:$B$9,0),2),"")</f>
        <v/>
      </c>
      <c r="L16" s="16" t="str">
        <f>IFERROR(INDEX('Patrones Infill'!$B$6:$D$9,MATCH(D16,'Patrones Infill'!$B$6:$B$9,0),3),"")</f>
        <v/>
      </c>
      <c r="M16" s="16" t="str">
        <f>IFERROR(INDEX('Propiedades Base'!$B$6:$G$10,MATCH(C16,'Propiedades Base'!$B$6:$B$10,0),4),"")</f>
        <v/>
      </c>
      <c r="N16" s="16" t="str">
        <f>IFERROR(IFERROR(INDEX('Propiedades Base'!$B$6:$G$10,MATCH(C16,'Propiedades Base'!$B$6:$B$10,0),3),"")*POWER(J16,K16),"")</f>
        <v/>
      </c>
      <c r="O16" s="17" t="str">
        <f>IFERROR(IFERROR(INDEX('Propiedades Base'!$B$6:$G$10,MATCH(C16,'Propiedades Base'!$B$6:$B$10,0),5),"")*POWER(J16,L16),"")</f>
        <v/>
      </c>
      <c r="P16" s="17" t="str">
        <f>IFERROR(IFERROR(INDEX('Propiedades Base'!$B$6:$G$10,MATCH(C16,'Propiedades Base'!$B$6:$B$10,0),6),"")*POWER(J16,L16),"")</f>
        <v/>
      </c>
      <c r="Q16" s="18" t="str">
        <f t="shared" si="2"/>
        <v/>
      </c>
      <c r="R16" s="19" t="str">
        <f t="shared" si="3"/>
        <v/>
      </c>
      <c r="S16" s="16" t="str">
        <f t="shared" si="4"/>
        <v/>
      </c>
      <c r="T16" s="19" t="str">
        <f t="shared" si="5"/>
        <v/>
      </c>
      <c r="U16" s="19" t="str">
        <f t="shared" si="6"/>
        <v/>
      </c>
    </row>
    <row r="17" spans="2:21" x14ac:dyDescent="0.3">
      <c r="B17" s="11" t="s">
        <v>103</v>
      </c>
      <c r="C17" s="14"/>
      <c r="D17" s="14"/>
      <c r="E17" s="15"/>
      <c r="F17" s="14"/>
      <c r="G17" s="14"/>
      <c r="H17" s="16" t="str">
        <f>IFERROR(INDEX('Propiedades Base'!$B$6:$G$10,MATCH(C17,'Propiedades Base'!$B$6:$B$10,0),2),"")</f>
        <v/>
      </c>
      <c r="I17" s="16" t="str">
        <f t="shared" si="0"/>
        <v/>
      </c>
      <c r="J17" s="16" t="str">
        <f t="shared" si="1"/>
        <v/>
      </c>
      <c r="K17" s="16" t="str">
        <f>IFERROR(INDEX('Patrones Infill'!$B$6:$D$9,MATCH(D17,'Patrones Infill'!$B$6:$B$9,0),2),"")</f>
        <v/>
      </c>
      <c r="L17" s="16" t="str">
        <f>IFERROR(INDEX('Patrones Infill'!$B$6:$D$9,MATCH(D17,'Patrones Infill'!$B$6:$B$9,0),3),"")</f>
        <v/>
      </c>
      <c r="M17" s="16" t="str">
        <f>IFERROR(INDEX('Propiedades Base'!$B$6:$G$10,MATCH(C17,'Propiedades Base'!$B$6:$B$10,0),4),"")</f>
        <v/>
      </c>
      <c r="N17" s="16" t="str">
        <f>IFERROR(IFERROR(INDEX('Propiedades Base'!$B$6:$G$10,MATCH(C17,'Propiedades Base'!$B$6:$B$10,0),3),"")*POWER(J17,K17),"")</f>
        <v/>
      </c>
      <c r="O17" s="17" t="str">
        <f>IFERROR(IFERROR(INDEX('Propiedades Base'!$B$6:$G$10,MATCH(C17,'Propiedades Base'!$B$6:$B$10,0),5),"")*POWER(J17,L17),"")</f>
        <v/>
      </c>
      <c r="P17" s="17" t="str">
        <f>IFERROR(IFERROR(INDEX('Propiedades Base'!$B$6:$G$10,MATCH(C17,'Propiedades Base'!$B$6:$B$10,0),6),"")*POWER(J17,L17),"")</f>
        <v/>
      </c>
      <c r="Q17" s="18" t="str">
        <f t="shared" si="2"/>
        <v/>
      </c>
      <c r="R17" s="19" t="str">
        <f t="shared" si="3"/>
        <v/>
      </c>
      <c r="S17" s="16" t="str">
        <f t="shared" si="4"/>
        <v/>
      </c>
      <c r="T17" s="19" t="str">
        <f t="shared" si="5"/>
        <v/>
      </c>
      <c r="U17" s="19" t="str">
        <f t="shared" si="6"/>
        <v/>
      </c>
    </row>
    <row r="18" spans="2:21" x14ac:dyDescent="0.3">
      <c r="B18" s="11" t="s">
        <v>104</v>
      </c>
      <c r="C18" s="14"/>
      <c r="D18" s="14"/>
      <c r="E18" s="15"/>
      <c r="F18" s="14"/>
      <c r="G18" s="14"/>
      <c r="H18" s="16" t="str">
        <f>IFERROR(INDEX('Propiedades Base'!$B$6:$G$10,MATCH(C18,'Propiedades Base'!$B$6:$B$10,0),2),"")</f>
        <v/>
      </c>
      <c r="I18" s="16" t="str">
        <f t="shared" si="0"/>
        <v/>
      </c>
      <c r="J18" s="16" t="str">
        <f t="shared" si="1"/>
        <v/>
      </c>
      <c r="K18" s="16" t="str">
        <f>IFERROR(INDEX('Patrones Infill'!$B$6:$D$9,MATCH(D18,'Patrones Infill'!$B$6:$B$9,0),2),"")</f>
        <v/>
      </c>
      <c r="L18" s="16" t="str">
        <f>IFERROR(INDEX('Patrones Infill'!$B$6:$D$9,MATCH(D18,'Patrones Infill'!$B$6:$B$9,0),3),"")</f>
        <v/>
      </c>
      <c r="M18" s="16" t="str">
        <f>IFERROR(INDEX('Propiedades Base'!$B$6:$G$10,MATCH(C18,'Propiedades Base'!$B$6:$B$10,0),4),"")</f>
        <v/>
      </c>
      <c r="N18" s="16" t="str">
        <f>IFERROR(IFERROR(INDEX('Propiedades Base'!$B$6:$G$10,MATCH(C18,'Propiedades Base'!$B$6:$B$10,0),3),"")*POWER(J18,K18),"")</f>
        <v/>
      </c>
      <c r="O18" s="17" t="str">
        <f>IFERROR(IFERROR(INDEX('Propiedades Base'!$B$6:$G$10,MATCH(C18,'Propiedades Base'!$B$6:$B$10,0),5),"")*POWER(J18,L18),"")</f>
        <v/>
      </c>
      <c r="P18" s="17" t="str">
        <f>IFERROR(IFERROR(INDEX('Propiedades Base'!$B$6:$G$10,MATCH(C18,'Propiedades Base'!$B$6:$B$10,0),6),"")*POWER(J18,L18),"")</f>
        <v/>
      </c>
      <c r="Q18" s="18" t="str">
        <f t="shared" si="2"/>
        <v/>
      </c>
      <c r="R18" s="19" t="str">
        <f t="shared" si="3"/>
        <v/>
      </c>
      <c r="S18" s="16" t="str">
        <f t="shared" si="4"/>
        <v/>
      </c>
      <c r="T18" s="19" t="str">
        <f t="shared" si="5"/>
        <v/>
      </c>
      <c r="U18" s="19" t="str">
        <f t="shared" si="6"/>
        <v/>
      </c>
    </row>
    <row r="21" spans="2:21" x14ac:dyDescent="0.3">
      <c r="B21" s="10" t="s">
        <v>105</v>
      </c>
    </row>
    <row r="22" spans="2:21" ht="69.75" customHeight="1" x14ac:dyDescent="0.3">
      <c r="B22" s="4" t="s">
        <v>106</v>
      </c>
      <c r="C22" s="4"/>
      <c r="D22" s="4"/>
      <c r="E22" s="4"/>
      <c r="F22" s="4"/>
      <c r="G22" s="4"/>
      <c r="H22" s="4"/>
      <c r="I22" s="4"/>
      <c r="J22" s="4"/>
      <c r="K22" s="4"/>
      <c r="L22" s="4"/>
      <c r="M22" s="4"/>
      <c r="N22" s="4"/>
      <c r="O22" s="4"/>
    </row>
  </sheetData>
  <mergeCells count="6">
    <mergeCell ref="B22:O22"/>
    <mergeCell ref="B3:U3"/>
    <mergeCell ref="B5:G5"/>
    <mergeCell ref="H5:J5"/>
    <mergeCell ref="K5:P5"/>
    <mergeCell ref="Q5:U5"/>
  </mergeCells>
  <pageMargins left="0.75" right="0.75" top="1" bottom="1" header="0.511811023622047" footer="0.511811023622047"/>
  <pageSetup paperSize="9" orientation="portrait" horizontalDpi="300" verticalDpi="300"/>
  <legacyDrawing r:id="rId1"/>
  <extLst>
    <ext xmlns:x14="http://schemas.microsoft.com/office/spreadsheetml/2009/9/main" uri="{CCE6A557-97BC-4b89-ADB6-D9C93CAAB3DF}">
      <x14:dataValidations xmlns:xm="http://schemas.microsoft.com/office/excel/2006/main" count="2">
        <x14:dataValidation type="list" allowBlank="1" xr:uid="{00000000-0002-0000-0300-000000000000}">
          <x14:formula1>
            <xm:f>'Propiedades Base'!$B$6:$B$10</xm:f>
          </x14:formula1>
          <x14:formula2>
            <xm:f>0</xm:f>
          </x14:formula2>
          <xm:sqref>C7:C18</xm:sqref>
        </x14:dataValidation>
        <x14:dataValidation type="list" allowBlank="1" xr:uid="{00000000-0002-0000-0300-000001000000}">
          <x14:formula1>
            <xm:f>'Patrones Infill'!$B$6:$B$9</xm:f>
          </x14:formula1>
          <x14:formula2>
            <xm:f>0</xm:f>
          </x14:formula2>
          <xm:sqref>D7:D18</xm:sqref>
        </x14:dataValidation>
      </x14:dataValidations>
    </ext>
  </extLst>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Worksheets</vt:lpstr>
      </vt:variant>
      <vt:variant>
        <vt:i4>4</vt:i4>
      </vt:variant>
    </vt:vector>
  </HeadingPairs>
  <TitlesOfParts>
    <vt:vector size="4" baseType="lpstr">
      <vt:lpstr>Config Impresion</vt:lpstr>
      <vt:lpstr>Propiedades Base</vt:lpstr>
      <vt:lpstr>Patrones Infill</vt:lpstr>
      <vt:lpstr>Calculadora Iteraciones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FELIX TELLO, ALESSANDRO JESUS</cp:lastModifiedBy>
  <cp:revision>0</cp:revision>
  <dcterms:created xsi:type="dcterms:W3CDTF">2026-08-20T17:32:08Z</dcterms:created>
  <dcterms:modified xsi:type="dcterms:W3CDTF">2026-08-22T11:53:49Z</dcterms:modified>
  <dc:language>en-US</dc:language>
</cp:coreProperties>
</file>